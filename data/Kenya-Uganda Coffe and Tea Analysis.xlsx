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Python Projects\EAC\data\"/>
    </mc:Choice>
  </mc:AlternateContent>
  <xr:revisionPtr revIDLastSave="0" documentId="8_{BBD994F6-5ECC-4DFA-99C6-8EFB9EA8E3AC}" xr6:coauthVersionLast="47" xr6:coauthVersionMax="47" xr10:uidLastSave="{00000000-0000-0000-0000-000000000000}"/>
  <bookViews>
    <workbookView xWindow="-120" yWindow="-120" windowWidth="20730" windowHeight="11160" activeTab="1" xr2:uid="{487C69D4-4573-4970-8AD7-CCB1C86872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<sst xmlns="http://schemas.openxmlformats.org/spreadsheetml/2006/main" count="7" uniqueCount="6">
  <si>
    <t>Year</t>
  </si>
  <si>
    <t>Tea Export Trade Value (US$)</t>
  </si>
  <si>
    <t>Tea Import Trade Value (US$)</t>
  </si>
  <si>
    <t>Coffee Export Trade Value (US$)</t>
  </si>
  <si>
    <t>Coffee Import Trade Value (US$)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</si>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</sst>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2" fillId="0" borderId="0" xfId="0" applyFon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KE" sz="1400" b="0" i="0" u="none" strike="noStrike" baseline="0"/>
              <a:t>Trends in Kenya–Uganda Tea Export and Import Values (2015–2024)</a:t>
            </a:r>
            <a:endParaRPr lang="en-GB"/>
          </a:p>
        </c:rich>
      </c:tx>
      <c:layout>
        <c:manualLayout>
          <c:xMode val="edge"/>
          <c:yMode val="edge"/>
          <c:x val="9.8373987655212825E-2"/>
          <c:y val="2.1136066339510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Tea Export Trade Value (US$)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Sheet1!$B$3:$K$3</c:f>
              <c:numCache>
                <c:formatCode>#,##0</c:formatCode>
                <c:ptCount val="10"/>
                <c:pt idx="0">
                  <c:v>392821</c:v>
                </c:pt>
                <c:pt idx="1">
                  <c:v>82219</c:v>
                </c:pt>
                <c:pt idx="2">
                  <c:v>109648</c:v>
                </c:pt>
                <c:pt idx="3">
                  <c:v>220240</c:v>
                </c:pt>
                <c:pt idx="4">
                  <c:v>230389</c:v>
                </c:pt>
                <c:pt idx="5">
                  <c:v>245474</c:v>
                </c:pt>
                <c:pt idx="6">
                  <c:v>313594</c:v>
                </c:pt>
                <c:pt idx="7">
                  <c:v>307761</c:v>
                </c:pt>
                <c:pt idx="8">
                  <c:v>423690</c:v>
                </c:pt>
                <c:pt idx="9">
                  <c:v>508590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6-4117-BAAC-F20BDCE11F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4639952"/>
        <c:axId val="109504480"/>
      </c:barChart>
      <c:lineChart>
        <c:grouping val="standard"/>
        <c:varyColors val="0"/>
        <c:ser>
          <c:idx val="1"/>
          <c:order val="1"/>
          <c:tx>
            <c:strRef>
              <c:f>Sheet1!$A$4</c:f>
              <c:strCache>
                <c:ptCount val="1"/>
                <c:pt idx="0">
                  <c:v>Tea Import Trade Value (US$)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Sheet1!$B$4:$K$4</c:f>
              <c:numCache>
                <c:formatCode>#,##0</c:formatCode>
                <c:ptCount val="10"/>
                <c:pt idx="0">
                  <c:v>6833035</c:v>
                </c:pt>
                <c:pt idx="1">
                  <c:v>4804489</c:v>
                </c:pt>
                <c:pt idx="2">
                  <c:v>7581249</c:v>
                </c:pt>
                <c:pt idx="3">
                  <c:v>10498399</c:v>
                </c:pt>
                <c:pt idx="4">
                  <c:v>5713205</c:v>
                </c:pt>
                <c:pt idx="5">
                  <c:v>5901866</c:v>
                </c:pt>
                <c:pt idx="6">
                  <c:v>5543058</c:v>
                </c:pt>
                <c:pt idx="7">
                  <c:v>2163494</c:v>
                </c:pt>
                <c:pt idx="8">
                  <c:v>2527870</c:v>
                </c:pt>
                <c:pt idx="9">
                  <c:v>512225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96-4117-BAAC-F20BDCE11F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639952"/>
        <c:axId val="109504480"/>
      </c:lineChart>
      <c:catAx>
        <c:axId val="11463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9504480"/>
        <c:crosses val="autoZero"/>
        <c:auto val="1"/>
        <c:lblAlgn val="ctr"/>
        <c:lblOffset val="100"/>
        <c:noMultiLvlLbl val="0"/>
      </c:catAx>
      <c:valAx>
        <c:axId val="10950448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463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KE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Trends in Kenya–Uganda </a:t>
            </a:r>
            <a:r>
              <a:rPr lang="en-GB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Coffee</a:t>
            </a:r>
            <a:r>
              <a:rPr lang="en-KE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Export and Import Values (2015–2024)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Coffee Export Trade Value (US$)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Sheet2!$B$2:$K$2</c:f>
              <c:numCache>
                <c:formatCode>#,##0</c:formatCode>
                <c:ptCount val="10"/>
                <c:pt idx="0">
                  <c:v>29546</c:v>
                </c:pt>
                <c:pt idx="1">
                  <c:v>29546</c:v>
                </c:pt>
                <c:pt idx="2">
                  <c:v>8779</c:v>
                </c:pt>
                <c:pt idx="3">
                  <c:v>10463</c:v>
                </c:pt>
                <c:pt idx="4">
                  <c:v>4739</c:v>
                </c:pt>
                <c:pt idx="5">
                  <c:v>169657</c:v>
                </c:pt>
                <c:pt idx="6">
                  <c:v>129252</c:v>
                </c:pt>
                <c:pt idx="7">
                  <c:v>7799</c:v>
                </c:pt>
                <c:pt idx="8">
                  <c:v>8613</c:v>
                </c:pt>
                <c:pt idx="9">
                  <c:v>13813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3-407C-8CBD-9C57998AE3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272112"/>
        <c:axId val="1779738336"/>
      </c:barChart>
      <c:lineChart>
        <c:grouping val="standard"/>
        <c:varyColors val="0"/>
        <c:ser>
          <c:idx val="1"/>
          <c:order val="1"/>
          <c:tx>
            <c:strRef>
              <c:f>Sheet2!$A$3</c:f>
              <c:strCache>
                <c:ptCount val="1"/>
                <c:pt idx="0">
                  <c:v>Coffee Import Trade Value (US$)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Sheet2!$B$3:$K$3</c:f>
              <c:numCache>
                <c:formatCode>_-* #,##0_-;\-* #,##0_-;_-* "-"??_-;_-@_-</c:formatCode>
                <c:ptCount val="10"/>
                <c:pt idx="0" formatCode="#,##0">
                  <c:v>234284</c:v>
                </c:pt>
                <c:pt idx="1">
                  <c:v>2038768</c:v>
                </c:pt>
                <c:pt idx="2" formatCode="#,##0">
                  <c:v>1172076</c:v>
                </c:pt>
                <c:pt idx="3" formatCode="#,##0">
                  <c:v>1459842</c:v>
                </c:pt>
                <c:pt idx="4" formatCode="General">
                  <c:v>717</c:v>
                </c:pt>
                <c:pt idx="5" formatCode="#,##0">
                  <c:v>2038768</c:v>
                </c:pt>
                <c:pt idx="6" formatCode="#,##0">
                  <c:v>3601994</c:v>
                </c:pt>
                <c:pt idx="7" formatCode="#,##0">
                  <c:v>3061141</c:v>
                </c:pt>
                <c:pt idx="8" formatCode="#,##0">
                  <c:v>3040943</c:v>
                </c:pt>
                <c:pt idx="9" formatCode="#,##0">
                  <c:v>3904225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3-407C-8CBD-9C57998AE3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272112"/>
        <c:axId val="1779738336"/>
      </c:lineChart>
      <c:catAx>
        <c:axId val="562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79738336"/>
        <c:crosses val="autoZero"/>
        <c:auto val="1"/>
        <c:lblAlgn val="ctr"/>
        <c:lblOffset val="100"/>
        <c:noMultiLvlLbl val="0"/>
      </c:catAx>
      <c:valAx>
        <c:axId val="17797383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62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5</xdr:row>
      <xdr:rowOff>9525</xdr:rowOff>
    </xdr:from>
    <xdr:to>
      <xdr:col>8</xdr:col>
      <xdr:colOff>590549</xdr:colOff>
      <xdr:row>23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C0DD6F-187B-6D5B-3798-F791D9AC1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180974</xdr:rowOff>
    </xdr:from>
    <xdr:to>
      <xdr:col>11</xdr:col>
      <xdr:colOff>590550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696A0-DFA1-816F-D786-A9EA2C705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500B-05A7-4D66-BCCC-05510FBAA704}">
  <dimension ref="A2:K4"/>
  <sheetViews>
    <sheetView workbookViewId="0">
      <selection activeCell="A3" sqref="A3:A4"/>
    </sheetView>
  </sheetViews>
  <sheetFormatPr defaultRowHeight="15" x14ac:dyDescent="0.25"/>
  <cols>
    <col min="1" max="1" width="27.140625" style="2" bestFit="1" customWidth="1"/>
    <col min="5" max="6" width="10.140625" bestFit="1" customWidth="1"/>
  </cols>
  <sheetData>
    <row r="2" spans="1:11" x14ac:dyDescent="0.25">
      <c r="A2" s="2" t="s">
        <v>0</v>
      </c>
      <c r="B2" s="2">
        <v>2015</v>
      </c>
      <c r="C2" s="2">
        <v>2016</v>
      </c>
      <c r="D2" s="2">
        <v>2017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  <c r="J2" s="2">
        <v>2023</v>
      </c>
      <c r="K2" s="2">
        <v>2024</v>
      </c>
    </row>
    <row r="3" spans="1:11" x14ac:dyDescent="0.25">
      <c r="A3" s="2" t="s">
        <v>1</v>
      </c>
      <c r="B3" s="1">
        <v>392821</v>
      </c>
      <c r="C3" s="1">
        <v>82219</v>
      </c>
      <c r="D3" s="1">
        <v>109648</v>
      </c>
      <c r="E3" s="1">
        <v>220240</v>
      </c>
      <c r="F3" s="1">
        <v>230389</v>
      </c>
      <c r="G3" s="1">
        <v>245474</v>
      </c>
      <c r="H3" s="1">
        <v>313594</v>
      </c>
      <c r="I3" s="1">
        <v>307761</v>
      </c>
      <c r="J3" s="1">
        <v>423690</v>
      </c>
      <c r="K3" s="1">
        <v>508590</v>
      </c>
    </row>
    <row r="4" spans="1:11" x14ac:dyDescent="0.25">
      <c r="A4" s="2" t="s">
        <v>2</v>
      </c>
      <c r="B4" s="1">
        <v>6833035</v>
      </c>
      <c r="C4" s="1">
        <v>4804489</v>
      </c>
      <c r="D4" s="1">
        <v>7581249</v>
      </c>
      <c r="E4" s="1">
        <v>10498399</v>
      </c>
      <c r="F4" s="1">
        <v>5713205</v>
      </c>
      <c r="G4" s="1">
        <v>5901866</v>
      </c>
      <c r="H4" s="1">
        <v>5543058</v>
      </c>
      <c r="I4" s="1">
        <v>2163494</v>
      </c>
      <c r="J4" s="1">
        <v>2527870</v>
      </c>
      <c r="K4" s="1">
        <v>512225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5258-5584-4B6C-B55C-0B107091D4A2}">
  <dimension ref="A1:K3"/>
  <sheetViews>
    <sheetView tabSelected="1" workbookViewId="0">
      <selection activeCell="P3" sqref="P3"/>
    </sheetView>
  </sheetViews>
  <sheetFormatPr defaultRowHeight="15" x14ac:dyDescent="0.25"/>
  <cols>
    <col min="1" max="1" width="30.42578125" style="2" bestFit="1" customWidth="1"/>
    <col min="3" max="3" width="15.28515625" bestFit="1" customWidth="1"/>
  </cols>
  <sheetData>
    <row r="1" spans="1:11" s="2" customFormat="1" x14ac:dyDescent="0.25">
      <c r="A1" s="2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</row>
    <row r="2" spans="1:11" x14ac:dyDescent="0.25">
      <c r="A2" s="2" t="s">
        <v>3</v>
      </c>
      <c r="B2" s="1">
        <v>29546</v>
      </c>
      <c r="C2" s="1">
        <v>29546</v>
      </c>
      <c r="D2" s="1">
        <v>8779</v>
      </c>
      <c r="E2" s="1">
        <v>10463</v>
      </c>
      <c r="F2" s="1">
        <v>4739</v>
      </c>
      <c r="G2" s="1">
        <v>169657</v>
      </c>
      <c r="H2" s="1">
        <v>129252</v>
      </c>
      <c r="I2" s="1">
        <v>7799</v>
      </c>
      <c r="J2" s="1">
        <v>8613</v>
      </c>
      <c r="K2" s="1">
        <v>13813</v>
      </c>
    </row>
    <row r="3" spans="1:11" x14ac:dyDescent="0.25">
      <c r="A3" s="2" t="s">
        <v>4</v>
      </c>
      <c r="B3" s="1">
        <v>234284</v>
      </c>
      <c r="C3" s="3">
        <v>2038768</v>
      </c>
      <c r="D3" s="1">
        <v>1172076</v>
      </c>
      <c r="E3" s="1">
        <v>1459842</v>
      </c>
      <c r="F3">
        <v>717</v>
      </c>
      <c r="G3" s="1">
        <v>2038768</v>
      </c>
      <c r="H3" s="1">
        <v>3601994</v>
      </c>
      <c r="I3" s="1">
        <v>3061141</v>
      </c>
      <c r="J3" s="1">
        <v>3040943</v>
      </c>
      <c r="K3" s="1">
        <v>3904225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93A0-213E-4478-9E42-A44E54006D17}">
  <dimension ref="A1:C9"/>
  <sheetViews>
    <sheetView workbookViewId="0">
      <selection activeCell="C9" sqref="C9"/>
    </sheetView>
  </sheetViews>
  <sheetFormatPr defaultRowHeight="15" x14ac:dyDescent="0.25"/>
  <sheetData>
    <row r="1" spans="1:3" x14ac:dyDescent="0.25">
      <c r="A1" s="1">
        <v>234284</v>
      </c>
    </row>
    <row r="2" spans="1:3" x14ac:dyDescent="0.25">
      <c r="A2" s="1">
        <v>1172076</v>
      </c>
    </row>
    <row r="3" spans="1:3" x14ac:dyDescent="0.25">
      <c r="A3" s="1">
        <v>1459842</v>
      </c>
    </row>
    <row r="4" spans="1:3" x14ac:dyDescent="0.25">
      <c r="A4">
        <v>717</v>
      </c>
    </row>
    <row r="5" spans="1:3" x14ac:dyDescent="0.25">
      <c r="A5" s="1">
        <v>2038768</v>
      </c>
    </row>
    <row r="6" spans="1:3" x14ac:dyDescent="0.25">
      <c r="A6" s="1">
        <v>3601994</v>
      </c>
    </row>
    <row r="7" spans="1:3" x14ac:dyDescent="0.25">
      <c r="A7" s="1">
        <v>3061141</v>
      </c>
    </row>
    <row r="8" spans="1:3" x14ac:dyDescent="0.25">
      <c r="A8" s="1">
        <v>3040943</v>
      </c>
    </row>
    <row r="9" spans="1:3" x14ac:dyDescent="0.25">
      <c r="A9" s="1">
        <v>3904225</v>
      </c>
      <c r="B9" t="s">
        <v>5</v>
      </c>
      <c r="C9" s="1">
        <f>MEDIAN(A1:A9)</f>
        <v>2038768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Chege</dc:creator>
  <cp:lastModifiedBy>Moses Chege</cp:lastModifiedBy>
  <dcterms:created xsi:type="dcterms:W3CDTF">2026-08-02T11:30:50Z</dcterms:created>
  <dcterms:modified xsi:type="dcterms:W3CDTF">2026-08-02T12:48:00Z</dcterms:modified>
</cp:coreProperties>
</file>