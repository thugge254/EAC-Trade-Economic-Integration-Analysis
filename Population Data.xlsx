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Python Projects\EAC\"/>
    </mc:Choice>
  </mc:AlternateContent>
  <xr:revisionPtr revIDLastSave="0" documentId="13_ncr:1_{60B3A7CD-B7C6-4271-9F8F-3783A9093A79}" xr6:coauthVersionLast="47" xr6:coauthVersionMax="47" xr10:uidLastSave="{00000000-0000-0000-0000-000000000000}"/>
  <bookViews>
    <workbookView xWindow="-120" yWindow="-120" windowWidth="20730" windowHeight="11160" activeTab="1" xr2:uid="{4DAC3C8F-859F-4A8F-8E7D-4A9A2C9BEBB2}"/>
  </bookViews>
  <sheets>
    <sheet name="Population" sheetId="1" r:id="rId1"/>
    <sheet name="G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  <c r="B10" i="2"/>
  <c r="C3" i="1"/>
  <c r="C4" i="1"/>
  <c r="C5" i="1"/>
  <c r="C6" i="1"/>
  <c r="C7" i="1"/>
  <c r="C8" i="1"/>
  <c r="C9" i="1"/>
  <c r="C2" i="1"/>
  <c r="B10" i="1"/>
</calcChain>
</file>

<file path=xl/sharedStrings.xml><?xml version="1.0" encoding="utf-8"?>
<sst xmlns="http://schemas.openxmlformats.org/spreadsheetml/2006/main" count="24" uniqueCount="15">
  <si>
    <t>Partner State</t>
  </si>
  <si>
    <t>Population (Million)</t>
  </si>
  <si>
    <t>Share of EAC Population (%)</t>
  </si>
  <si>
    <t>Kenya</t>
  </si>
  <si>
    <t>Uganda</t>
  </si>
  <si>
    <t>Tanzania</t>
  </si>
  <si>
    <t>Rwanda</t>
  </si>
  <si>
    <t>Burundi</t>
  </si>
  <si>
    <t>South Sudan</t>
  </si>
  <si>
    <t>DRC</t>
  </si>
  <si>
    <t>Somalia</t>
  </si>
  <si>
    <t>Total EAC Population</t>
  </si>
  <si>
    <t>GDP (Current US$ Billion)</t>
  </si>
  <si>
    <t>Share of EAC GDP (%)</t>
  </si>
  <si>
    <t>Total EAC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</si>
</sst>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9" fontId="0" fillId="0" borderId="0" xfId="1" applyNumberFormat="1" applyFont="1"/>
    <xf numFmtId="0" fontId="0" fillId="2" borderId="0" xfId="0" applyFill="1"/>
    <xf numFmtId="169" fontId="0" fillId="2" borderId="0" xfId="1" applyNumberFormat="1" applyFont="1" applyFill="1"/>
    <xf numFmtId="0" fontId="2" fillId="0" borderId="0" xfId="0" applyFont="1"/>
    <xf numFmtId="169" fontId="2" fillId="0" borderId="0" xfId="1" applyNumberFormat="1" applyFont="1"/>
    <xf numFmtId="10" fontId="0" fillId="0" borderId="0" xfId="2" applyNumberFormat="1" applyFont="1"/>
    <xf numFmtId="0" fontId="3" fillId="2" borderId="0" xfId="0" applyFont="1" applyFill="1"/>
    <xf numFmtId="0" fontId="4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2830-6706-4E23-B0AB-DB5AE43DDADD}">
  <dimension ref="A1:C10"/>
  <sheetViews>
    <sheetView workbookViewId="0">
      <selection activeCell="C17" sqref="C17"/>
    </sheetView>
  </sheetViews>
  <sheetFormatPr defaultRowHeight="15" x14ac:dyDescent="0.25"/>
  <cols>
    <col min="1" max="1" width="26.42578125" customWidth="1"/>
    <col min="2" max="2" width="21.28515625" style="1" customWidth="1"/>
    <col min="3" max="3" width="27.28515625" customWidth="1"/>
  </cols>
  <sheetData>
    <row r="1" spans="1:3" s="4" customFormat="1" x14ac:dyDescent="0.25">
      <c r="A1" s="4" t="s">
        <v>0</v>
      </c>
      <c r="B1" s="5" t="s">
        <v>1</v>
      </c>
      <c r="C1" s="4" t="s">
        <v>2</v>
      </c>
    </row>
    <row r="2" spans="1:3" x14ac:dyDescent="0.25">
      <c r="A2" t="s">
        <v>3</v>
      </c>
      <c r="B2" s="1">
        <v>57532493</v>
      </c>
      <c r="C2" s="6">
        <f>(B2/$B$10)</f>
        <v>0.16293605710060655</v>
      </c>
    </row>
    <row r="3" spans="1:3" x14ac:dyDescent="0.25">
      <c r="A3" t="s">
        <v>4</v>
      </c>
      <c r="B3" s="1">
        <v>51384894</v>
      </c>
      <c r="C3" s="6">
        <f t="shared" ref="C3:C9" si="0">(B3/$B$10)</f>
        <v>0.14552562536952143</v>
      </c>
    </row>
    <row r="4" spans="1:3" x14ac:dyDescent="0.25">
      <c r="A4" t="s">
        <v>5</v>
      </c>
      <c r="B4" s="1">
        <v>70545865</v>
      </c>
      <c r="C4" s="6">
        <f t="shared" si="0"/>
        <v>0.19979083972341821</v>
      </c>
    </row>
    <row r="5" spans="1:3" x14ac:dyDescent="0.25">
      <c r="A5" t="s">
        <v>6</v>
      </c>
      <c r="B5" s="1">
        <v>14569341</v>
      </c>
      <c r="C5" s="6">
        <f t="shared" si="0"/>
        <v>4.1261396009628991E-2</v>
      </c>
    </row>
    <row r="6" spans="1:3" x14ac:dyDescent="0.25">
      <c r="A6" t="s">
        <v>7</v>
      </c>
      <c r="B6" s="1">
        <v>14390003</v>
      </c>
      <c r="C6" s="6">
        <f t="shared" si="0"/>
        <v>4.0753498209888099E-2</v>
      </c>
    </row>
    <row r="7" spans="1:3" x14ac:dyDescent="0.25">
      <c r="A7" t="s">
        <v>8</v>
      </c>
      <c r="B7" s="1">
        <v>12188788</v>
      </c>
      <c r="C7" s="6">
        <f t="shared" si="0"/>
        <v>3.4519502875621742E-2</v>
      </c>
    </row>
    <row r="8" spans="1:3" x14ac:dyDescent="0.25">
      <c r="A8" t="s">
        <v>9</v>
      </c>
      <c r="B8" s="1">
        <v>112832473</v>
      </c>
      <c r="C8" s="6">
        <f t="shared" si="0"/>
        <v>0.31954948073483702</v>
      </c>
    </row>
    <row r="9" spans="1:3" x14ac:dyDescent="0.25">
      <c r="A9" t="s">
        <v>10</v>
      </c>
      <c r="B9" s="1">
        <v>19654739</v>
      </c>
      <c r="C9" s="6">
        <f t="shared" si="0"/>
        <v>5.5663599976477955E-2</v>
      </c>
    </row>
    <row r="10" spans="1:3" x14ac:dyDescent="0.25">
      <c r="A10" s="2" t="s">
        <v>11</v>
      </c>
      <c r="B10" s="3">
        <f>SUM(B2:B9)</f>
        <v>353098596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422B-40DE-48B1-8D2B-E070366CF84D}">
  <dimension ref="A1:C10"/>
  <sheetViews>
    <sheetView tabSelected="1" workbookViewId="0">
      <selection activeCell="C9" sqref="C9"/>
    </sheetView>
  </sheetViews>
  <sheetFormatPr defaultRowHeight="15" x14ac:dyDescent="0.25"/>
  <cols>
    <col min="1" max="1" width="23.42578125" customWidth="1"/>
    <col min="2" max="2" width="31.5703125" customWidth="1"/>
    <col min="3" max="3" width="21.5703125" customWidth="1"/>
  </cols>
  <sheetData>
    <row r="1" spans="1:3" x14ac:dyDescent="0.25">
      <c r="A1" t="s">
        <v>7</v>
      </c>
      <c r="B1" t="s">
        <v>12</v>
      </c>
      <c r="C1" t="s">
        <v>13</v>
      </c>
    </row>
    <row r="2" spans="1:3" x14ac:dyDescent="0.25">
      <c r="A2" t="s">
        <v>3</v>
      </c>
      <c r="B2">
        <v>135.94</v>
      </c>
      <c r="C2" s="6">
        <f>(B2/$B$10)</f>
        <v>0.3252931323283082</v>
      </c>
    </row>
    <row r="3" spans="1:3" x14ac:dyDescent="0.25">
      <c r="A3" t="s">
        <v>4</v>
      </c>
      <c r="B3">
        <v>61.99</v>
      </c>
      <c r="C3" s="6">
        <f t="shared" ref="C3:C9" si="0">(B3/$B$10)</f>
        <v>0.14833692270878202</v>
      </c>
    </row>
    <row r="4" spans="1:3" x14ac:dyDescent="0.25">
      <c r="A4" t="s">
        <v>5</v>
      </c>
      <c r="B4">
        <v>90.14</v>
      </c>
      <c r="C4" s="6">
        <f t="shared" si="0"/>
        <v>0.21569753529552527</v>
      </c>
    </row>
    <row r="5" spans="1:3" x14ac:dyDescent="0.25">
      <c r="A5" t="s">
        <v>6</v>
      </c>
      <c r="B5">
        <v>16.37</v>
      </c>
      <c r="C5" s="6">
        <f t="shared" si="0"/>
        <v>3.9172050729839682E-2</v>
      </c>
    </row>
    <row r="6" spans="1:3" x14ac:dyDescent="0.25">
      <c r="A6" t="s">
        <v>7</v>
      </c>
      <c r="B6">
        <v>3.36</v>
      </c>
      <c r="C6" s="6">
        <f t="shared" si="0"/>
        <v>8.0402010050251264E-3</v>
      </c>
    </row>
    <row r="7" spans="1:3" x14ac:dyDescent="0.25">
      <c r="A7" t="s">
        <v>8</v>
      </c>
      <c r="B7">
        <v>6.07</v>
      </c>
      <c r="C7" s="6">
        <f t="shared" si="0"/>
        <v>1.4525005982292416E-2</v>
      </c>
    </row>
    <row r="8" spans="1:3" x14ac:dyDescent="0.25">
      <c r="A8" t="s">
        <v>9</v>
      </c>
      <c r="B8">
        <v>91.03</v>
      </c>
      <c r="C8" s="6">
        <f t="shared" si="0"/>
        <v>0.2178272313950706</v>
      </c>
    </row>
    <row r="9" spans="1:3" x14ac:dyDescent="0.25">
      <c r="A9" t="s">
        <v>10</v>
      </c>
      <c r="B9">
        <v>13</v>
      </c>
      <c r="C9" s="6">
        <f t="shared" si="0"/>
        <v>3.1107920555156737E-2</v>
      </c>
    </row>
    <row r="10" spans="1:3" ht="15.75" x14ac:dyDescent="0.25">
      <c r="A10" s="7" t="s">
        <v>14</v>
      </c>
      <c r="B10" s="8">
        <f>SUM(B2:B9)</f>
        <v>417.9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Chege</dc:creator>
  <cp:lastModifiedBy>Moses Chege</cp:lastModifiedBy>
  <dcterms:created xsi:type="dcterms:W3CDTF">2026-07-26T11:08:21Z</dcterms:created>
  <dcterms:modified xsi:type="dcterms:W3CDTF">2026-07-26T12:57:53Z</dcterms:modified>
</cp:coreProperties>
</file>